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gas\Downloads\"/>
    </mc:Choice>
  </mc:AlternateContent>
  <xr:revisionPtr revIDLastSave="0" documentId="13_ncr:1_{21C56469-65E5-44BF-8218-B5F252C8B2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Revenue Detail" sheetId="2" r:id="rId2"/>
    <sheet name="Client Acquisi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3" l="1"/>
  <c r="C9" i="3"/>
  <c r="D9" i="3" s="1"/>
  <c r="B9" i="3"/>
  <c r="D8" i="3"/>
  <c r="D7" i="3"/>
  <c r="D6" i="3"/>
  <c r="D5" i="3"/>
  <c r="D4" i="3"/>
  <c r="F9" i="2"/>
  <c r="G9" i="2" s="1"/>
  <c r="E9" i="2"/>
  <c r="D9" i="2"/>
  <c r="C9" i="2"/>
  <c r="B9" i="2"/>
  <c r="F8" i="2"/>
  <c r="G8" i="2" s="1"/>
  <c r="G7" i="2"/>
  <c r="F7" i="2"/>
  <c r="F6" i="2"/>
  <c r="G6" i="2" s="1"/>
  <c r="F5" i="2"/>
  <c r="G5" i="2" s="1"/>
  <c r="F4" i="2"/>
  <c r="G4" i="2" s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<sst xmlns="http://schemas.openxmlformats.org/spreadsheetml/2006/main" count="47" uniqueCount="41">
  <si>
    <t>MONTHLY PERFORMANCE REPORT — FEBRUARY 2025</t>
  </si>
  <si>
    <t>KEY PERFORMANCE INDICATORS</t>
  </si>
  <si>
    <t>Metric</t>
  </si>
  <si>
    <t>Jan 2025</t>
  </si>
  <si>
    <t>Feb 2025</t>
  </si>
  <si>
    <t>MoM Change</t>
  </si>
  <si>
    <t>Target</t>
  </si>
  <si>
    <t>Status</t>
  </si>
  <si>
    <t>Total Revenue</t>
  </si>
  <si>
    <t>✅ On Track</t>
  </si>
  <si>
    <t>New Clients</t>
  </si>
  <si>
    <t>Active Clients</t>
  </si>
  <si>
    <t>Avg Transaction/Day</t>
  </si>
  <si>
    <t>Churn Rate (%)</t>
  </si>
  <si>
    <t>Support Tickets</t>
  </si>
  <si>
    <t>REVENUE DETAIL — FEBRUARY 2025</t>
  </si>
  <si>
    <t>Product</t>
  </si>
  <si>
    <t>Q1 Jan</t>
  </si>
  <si>
    <t>Q2 Jan</t>
  </si>
  <si>
    <t>Q1 Feb</t>
  </si>
  <si>
    <t>Q2 Feb</t>
  </si>
  <si>
    <t>Total Feb</t>
  </si>
  <si>
    <t>MoM (%)</t>
  </si>
  <si>
    <t>Forex Trading</t>
  </si>
  <si>
    <t>Commodity</t>
  </si>
  <si>
    <t>Index Trading</t>
  </si>
  <si>
    <t>Crypto</t>
  </si>
  <si>
    <t>Stocks</t>
  </si>
  <si>
    <t>TOTAL</t>
  </si>
  <si>
    <t>CLIENT ACQUISITION — FEBRUARY 2025</t>
  </si>
  <si>
    <t>Channel</t>
  </si>
  <si>
    <t>Leads</t>
  </si>
  <si>
    <t>Converted</t>
  </si>
  <si>
    <t>Conv. Rate (%)</t>
  </si>
  <si>
    <t>Avg Revenue/Client</t>
  </si>
  <si>
    <t>Organic Search</t>
  </si>
  <si>
    <t>Paid Ads</t>
  </si>
  <si>
    <t>Referral</t>
  </si>
  <si>
    <t>Social Media</t>
  </si>
  <si>
    <t>Email Campaign</t>
  </si>
  <si>
    <t>Generated by Data Team  |  PT 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</si>
</sst>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&quot;%&quot;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0"/>
      <color rgb="FF666666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3"/>
      <color rgb="FF1F4E79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3" fontId="7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3" sqref="I3"/>
    </sheetView>
  </sheetViews>
  <sheetFormatPr defaultRowHeight="14.5" x14ac:dyDescent="0.35"/>
  <cols>
    <col min="1" max="1" width="22" customWidth="1"/>
    <col min="2" max="3" width="16" customWidth="1"/>
    <col min="4" max="6" width="14" customWidth="1"/>
  </cols>
  <sheetData>
    <row r="1" spans="1:6" ht="30" customHeight="1" x14ac:dyDescent="0.35">
      <c r="A1" s="16" t="s">
        <v>0</v>
      </c>
      <c r="B1" s="15"/>
      <c r="C1" s="15"/>
      <c r="D1" s="15"/>
      <c r="E1" s="15"/>
      <c r="F1" s="15"/>
    </row>
    <row r="2" spans="1:6" ht="18" customHeight="1" x14ac:dyDescent="0.35">
      <c r="A2" s="14" t="s">
        <v>40</v>
      </c>
      <c r="B2" s="15"/>
      <c r="C2" s="15"/>
      <c r="D2" s="15"/>
      <c r="E2" s="15"/>
      <c r="F2" s="15"/>
    </row>
    <row r="4" spans="1:6" ht="22" customHeight="1" x14ac:dyDescent="0.35">
      <c r="A4" s="17" t="s">
        <v>1</v>
      </c>
      <c r="B4" s="15"/>
      <c r="C4" s="15"/>
      <c r="D4" s="15"/>
      <c r="E4" s="15"/>
      <c r="F4" s="15"/>
    </row>
    <row r="5" spans="1:6" ht="20" customHeight="1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ht="18" customHeight="1" x14ac:dyDescent="0.35">
      <c r="A6" s="2" t="s">
        <v>8</v>
      </c>
      <c r="B6" s="3">
        <v>850000000</v>
      </c>
      <c r="C6" s="3">
        <v>920000000</v>
      </c>
      <c r="D6" s="3">
        <f t="shared" ref="D6:D11" si="0">C6-B6</f>
        <v>70000000</v>
      </c>
      <c r="E6" s="3">
        <v>900000000</v>
      </c>
      <c r="F6" s="4" t="s">
        <v>9</v>
      </c>
    </row>
    <row r="7" spans="1:6" ht="18" customHeight="1" x14ac:dyDescent="0.35">
      <c r="A7" s="5" t="s">
        <v>10</v>
      </c>
      <c r="B7" s="6">
        <v>320</v>
      </c>
      <c r="C7" s="6">
        <v>374</v>
      </c>
      <c r="D7" s="6">
        <f t="shared" si="0"/>
        <v>54</v>
      </c>
      <c r="E7" s="6">
        <v>350</v>
      </c>
      <c r="F7" s="7" t="s">
        <v>9</v>
      </c>
    </row>
    <row r="8" spans="1:6" ht="18" customHeight="1" x14ac:dyDescent="0.35">
      <c r="A8" s="2" t="s">
        <v>11</v>
      </c>
      <c r="B8" s="3">
        <v>1240</v>
      </c>
      <c r="C8" s="3">
        <v>1310</v>
      </c>
      <c r="D8" s="3">
        <f t="shared" si="0"/>
        <v>70</v>
      </c>
      <c r="E8" s="3">
        <v>1300</v>
      </c>
      <c r="F8" s="4" t="s">
        <v>9</v>
      </c>
    </row>
    <row r="9" spans="1:6" ht="18" customHeight="1" x14ac:dyDescent="0.35">
      <c r="A9" s="5" t="s">
        <v>12</v>
      </c>
      <c r="B9" s="6">
        <v>2150</v>
      </c>
      <c r="C9" s="6">
        <v>2340</v>
      </c>
      <c r="D9" s="6">
        <f t="shared" si="0"/>
        <v>190</v>
      </c>
      <c r="E9" s="6">
        <v>2200</v>
      </c>
      <c r="F9" s="7" t="s">
        <v>9</v>
      </c>
    </row>
    <row r="10" spans="1:6" ht="18" customHeight="1" x14ac:dyDescent="0.35">
      <c r="A10" s="2" t="s">
        <v>13</v>
      </c>
      <c r="B10" s="8">
        <v>2.1</v>
      </c>
      <c r="C10" s="8">
        <v>1.8</v>
      </c>
      <c r="D10" s="8">
        <f t="shared" si="0"/>
        <v>-0.30000000000000004</v>
      </c>
      <c r="E10" s="3">
        <v>2</v>
      </c>
      <c r="F10" s="4" t="s">
        <v>9</v>
      </c>
    </row>
    <row r="11" spans="1:6" ht="18" customHeight="1" x14ac:dyDescent="0.35">
      <c r="A11" s="5" t="s">
        <v>14</v>
      </c>
      <c r="B11" s="6">
        <v>145</v>
      </c>
      <c r="C11" s="6">
        <v>132</v>
      </c>
      <c r="D11" s="6">
        <f t="shared" si="0"/>
        <v>-13</v>
      </c>
      <c r="E11" s="6">
        <v>150</v>
      </c>
      <c r="F11" s="7" t="s">
        <v>9</v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RowHeight="14.5" x14ac:dyDescent="0.35"/>
  <cols>
    <col min="1" max="1" width="18" customWidth="1"/>
    <col min="2" max="6" width="16" customWidth="1"/>
    <col min="7" max="7" width="12" customWidth="1"/>
  </cols>
  <sheetData>
    <row r="1" spans="1:7" ht="28" customHeight="1" x14ac:dyDescent="0.35">
      <c r="A1" s="18" t="s">
        <v>15</v>
      </c>
      <c r="B1" s="15"/>
      <c r="C1" s="15"/>
      <c r="D1" s="15"/>
      <c r="E1" s="15"/>
    </row>
    <row r="3" spans="1:7" ht="20" customHeight="1" x14ac:dyDescent="0.3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</row>
    <row r="4" spans="1:7" ht="18" customHeight="1" x14ac:dyDescent="0.35">
      <c r="A4" s="2" t="s">
        <v>23</v>
      </c>
      <c r="B4" s="3">
        <v>210000000</v>
      </c>
      <c r="C4" s="3">
        <v>195000000</v>
      </c>
      <c r="D4" s="3">
        <v>230000000</v>
      </c>
      <c r="E4" s="3">
        <v>210000000</v>
      </c>
      <c r="F4" s="3">
        <f>D4+E4</f>
        <v>440000000</v>
      </c>
      <c r="G4" s="9">
        <f t="shared" ref="G4:G9" si="0">(F4-(B4+C4))/(B4+C4)</f>
        <v>8.6419753086419748E-2</v>
      </c>
    </row>
    <row r="5" spans="1:7" ht="18" customHeight="1" x14ac:dyDescent="0.35">
      <c r="A5" s="5" t="s">
        <v>24</v>
      </c>
      <c r="B5" s="6">
        <v>95000000</v>
      </c>
      <c r="C5" s="6">
        <v>90000000</v>
      </c>
      <c r="D5" s="6">
        <v>105000000</v>
      </c>
      <c r="E5" s="6">
        <v>98000000</v>
      </c>
      <c r="F5" s="6">
        <f>D5+E5</f>
        <v>203000000</v>
      </c>
      <c r="G5" s="10">
        <f t="shared" si="0"/>
        <v>9.7297297297297303E-2</v>
      </c>
    </row>
    <row r="6" spans="1:7" ht="18" customHeight="1" x14ac:dyDescent="0.35">
      <c r="A6" s="2" t="s">
        <v>25</v>
      </c>
      <c r="B6" s="3">
        <v>78000000</v>
      </c>
      <c r="C6" s="3">
        <v>82000000</v>
      </c>
      <c r="D6" s="3">
        <v>88000000</v>
      </c>
      <c r="E6" s="3">
        <v>91000000</v>
      </c>
      <c r="F6" s="3">
        <f>D6+E6</f>
        <v>179000000</v>
      </c>
      <c r="G6" s="9">
        <f t="shared" si="0"/>
        <v>0.11874999999999999</v>
      </c>
    </row>
    <row r="7" spans="1:7" ht="18" customHeight="1" x14ac:dyDescent="0.35">
      <c r="A7" s="5" t="s">
        <v>26</v>
      </c>
      <c r="B7" s="6">
        <v>55000000</v>
      </c>
      <c r="C7" s="6">
        <v>45000000</v>
      </c>
      <c r="D7" s="6">
        <v>62000000</v>
      </c>
      <c r="E7" s="6">
        <v>53000000</v>
      </c>
      <c r="F7" s="6">
        <f>D7+E7</f>
        <v>115000000</v>
      </c>
      <c r="G7" s="10">
        <f t="shared" si="0"/>
        <v>0.15</v>
      </c>
    </row>
    <row r="8" spans="1:7" ht="18" customHeight="1" x14ac:dyDescent="0.35">
      <c r="A8" s="2" t="s">
        <v>27</v>
      </c>
      <c r="B8" s="3">
        <v>30000000</v>
      </c>
      <c r="C8" s="3">
        <v>35000000</v>
      </c>
      <c r="D8" s="3">
        <v>40000000</v>
      </c>
      <c r="E8" s="3">
        <v>43000000</v>
      </c>
      <c r="F8" s="3">
        <f>D8+E8</f>
        <v>83000000</v>
      </c>
      <c r="G8" s="9">
        <f t="shared" si="0"/>
        <v>0.27692307692307694</v>
      </c>
    </row>
    <row r="9" spans="1:7" ht="20" customHeight="1" x14ac:dyDescent="0.35">
      <c r="A9" s="11" t="s">
        <v>28</v>
      </c>
      <c r="B9" s="12">
        <f>SUM(B4:B8)</f>
        <v>468000000</v>
      </c>
      <c r="C9" s="12">
        <f>SUM(C4:C8)</f>
        <v>447000000</v>
      </c>
      <c r="D9" s="12">
        <f>SUM(D4:D8)</f>
        <v>525000000</v>
      </c>
      <c r="E9" s="12">
        <f>SUM(E4:E8)</f>
        <v>495000000</v>
      </c>
      <c r="F9" s="12">
        <f>SUM(F4:F8)</f>
        <v>1020000000</v>
      </c>
      <c r="G9" s="13">
        <f t="shared" si="0"/>
        <v>0.11475409836065574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4.5" x14ac:dyDescent="0.35"/>
  <cols>
    <col min="1" max="1" width="18" customWidth="1"/>
    <col min="2" max="2" width="12" customWidth="1"/>
    <col min="3" max="3" width="14" customWidth="1"/>
    <col min="4" max="4" width="16" customWidth="1"/>
    <col min="5" max="5" width="20" customWidth="1"/>
  </cols>
  <sheetData>
    <row r="1" spans="1:5" ht="28" customHeight="1" x14ac:dyDescent="0.35">
      <c r="A1" s="18" t="s">
        <v>29</v>
      </c>
      <c r="B1" s="15"/>
      <c r="C1" s="15"/>
      <c r="D1" s="15"/>
      <c r="E1" s="15"/>
    </row>
    <row r="3" spans="1:5" ht="20" customHeight="1" x14ac:dyDescent="0.3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</row>
    <row r="4" spans="1:5" ht="18" customHeight="1" x14ac:dyDescent="0.35">
      <c r="A4" s="2" t="s">
        <v>35</v>
      </c>
      <c r="B4" s="3">
        <v>320</v>
      </c>
      <c r="C4" s="3">
        <v>85</v>
      </c>
      <c r="D4" s="9">
        <f t="shared" ref="D4:D9" si="0">C4/B4</f>
        <v>0.265625</v>
      </c>
      <c r="E4" s="3">
        <v>2450000</v>
      </c>
    </row>
    <row r="5" spans="1:5" ht="18" customHeight="1" x14ac:dyDescent="0.35">
      <c r="A5" s="5" t="s">
        <v>36</v>
      </c>
      <c r="B5" s="6">
        <v>410</v>
      </c>
      <c r="C5" s="6">
        <v>112</v>
      </c>
      <c r="D5" s="10">
        <f t="shared" si="0"/>
        <v>0.27317073170731709</v>
      </c>
      <c r="E5" s="6">
        <v>2100000</v>
      </c>
    </row>
    <row r="6" spans="1:5" ht="18" customHeight="1" x14ac:dyDescent="0.35">
      <c r="A6" s="2" t="s">
        <v>37</v>
      </c>
      <c r="B6" s="3">
        <v>180</v>
      </c>
      <c r="C6" s="3">
        <v>76</v>
      </c>
      <c r="D6" s="9">
        <f t="shared" si="0"/>
        <v>0.42222222222222222</v>
      </c>
      <c r="E6" s="3">
        <v>2800000</v>
      </c>
    </row>
    <row r="7" spans="1:5" ht="18" customHeight="1" x14ac:dyDescent="0.35">
      <c r="A7" s="5" t="s">
        <v>38</v>
      </c>
      <c r="B7" s="6">
        <v>260</v>
      </c>
      <c r="C7" s="6">
        <v>58</v>
      </c>
      <c r="D7" s="10">
        <f t="shared" si="0"/>
        <v>0.22307692307692309</v>
      </c>
      <c r="E7" s="6">
        <v>1950000</v>
      </c>
    </row>
    <row r="8" spans="1:5" ht="18" customHeight="1" x14ac:dyDescent="0.35">
      <c r="A8" s="2" t="s">
        <v>39</v>
      </c>
      <c r="B8" s="3">
        <v>140</v>
      </c>
      <c r="C8" s="3">
        <v>43</v>
      </c>
      <c r="D8" s="9">
        <f t="shared" si="0"/>
        <v>0.30714285714285716</v>
      </c>
      <c r="E8" s="3">
        <v>2200000</v>
      </c>
    </row>
    <row r="9" spans="1:5" ht="20" customHeight="1" x14ac:dyDescent="0.35">
      <c r="A9" s="11" t="s">
        <v>28</v>
      </c>
      <c r="B9" s="12">
        <f>SUM(B4:B8)</f>
        <v>1310</v>
      </c>
      <c r="C9" s="12">
        <f>SUM(C4:C8)</f>
        <v>374</v>
      </c>
      <c r="D9" s="13">
        <f t="shared" si="0"/>
        <v>0.28549618320610687</v>
      </c>
      <c r="E9" s="12">
        <f>AVERAGE(E4:E8)</f>
        <v>2300000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Revenue Detail</vt:lpstr>
      <vt:lpstr>Client Acquisition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mifx ssc</cp:lastModifiedBy>
  <dcterms:created xsi:type="dcterms:W3CDTF">2026-03-22T13:09:31Z</dcterms:created>
  <dcterms:modified xsi:type="dcterms:W3CDTF">2026-03-22T13:10:49Z</dcterms:modified>
</cp:coreProperties>
</file>